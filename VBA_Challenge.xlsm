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im_b\Rutgers Bootcamp 2022 January\Module 02 VBA\Stock_Analysis\Stock_Analysis\"/>
    </mc:Choice>
  </mc:AlternateContent>
  <xr:revisionPtr revIDLastSave="0" documentId="13_ncr:1_{00810B97-2197-404D-BBF4-C442A31BB038}" xr6:coauthVersionLast="47" xr6:coauthVersionMax="47" xr10:uidLastSave="{00000000-0000-0000-0000-000000000000}"/>
  <bookViews>
    <workbookView xWindow="28680" yWindow="-120" windowWidth="29040" windowHeight="15840" activeTab="4" xr2:uid="{00000000-000D-0000-FFFF-FFFF00000000}"/>
  </bookViews>
  <sheets>
    <sheet name="Time Stamps" sheetId="5" r:id="rId1"/>
    <sheet name="2017" sheetId="1" r:id="rId2"/>
    <sheet name="2018" sheetId="2" r:id="rId3"/>
    <sheet name="DQ Analysis" sheetId="3" r:id="rId4"/>
    <sheet name="All Stocks Analysis" sheetId="4" r:id="rId5"/>
  </sheets>
  <definedNames>
    <definedName name="_xlnm._FilterDatabase" localSheetId="2" hidden="1">'2018'!$A$1:$H$3013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22" i="5" l="1"/>
  <c r="R22" i="5" s="1"/>
  <c r="Q8" i="5"/>
  <c r="R8" i="5" s="1"/>
</calcChain>
</file>

<file path=xl/sharedStrings.xml><?xml version="1.0" encoding="utf-8"?>
<sst xmlns="http://schemas.openxmlformats.org/spreadsheetml/2006/main" count="12090" uniqueCount="533">
  <si>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</si>
  <si>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</si>
  <si>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</si>
  <si>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</si>
  <si>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</si>
  <si>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</si>
  <si>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</si>
  <si>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</si>
  <si>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</si>
  <si>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</si>
  <si>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</si>
  <si>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</si>
  <si>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</si>
  <si>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</si>
  <si>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</si>
  <si>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</si>
  <si>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</si>
  <si>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</si>
  <si>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</si>
  <si>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</si>
  <si>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</si>
  <si>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</si>
  <si>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</si>
  <si>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</si>
  <si>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</si>
  <si>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</si>
  <si>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</si>
  <si>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</si>
  <si>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</si>
  <si>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</si>
  <si>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</si>
  <si>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</si>
  <si>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</si>
  <si>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</si>
  <si>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</si>
  <si>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</si>
  <si>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</si>
  <si>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</si>
  <si>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</si>
  <si>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</si>
  <si>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</si>
  <si>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</si>
  <si>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</si>
  <si>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</si>
  <si>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</si>
  <si>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</si>
  <si>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</si>
  <si>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</si>
  <si>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</si>
  <si>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</si>
  <si>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</si>
  <si>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</si>
  <si>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</si>
  <si>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</si>
  <si>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</si>
  <si>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</si>
  <si>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</si>
  <si>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</si>
  <si>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</si>
  <si>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</si>
  <si>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</si>
  <si>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</si>
  <si>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</si>
  <si>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</si>
  <si>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</si>
  <si>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</si>
  <si>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</si>
  <si>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</si>
  <si>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</si>
  <si>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</si>
  <si>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</si>
  <si>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</si>
  <si>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</si>
  <si>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</si>
  <si>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</si>
  <si>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</si>
  <si>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</si>
  <si>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</si>
  <si>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</si>
  <si>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</si>
  <si>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</si>
  <si>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</si>
  <si>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</si>
  <si>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</si>
  <si>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</si>
  <si>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</si>
  <si>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</si>
  <si>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</si>
  <si>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</si>
  <si>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</si>
  <si>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</si>
  <si>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</si>
  <si>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</si>
  <si>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</si>
  <si>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</si>
  <si>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</si>
  <si>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</si>
  <si>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</si>
  <si>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</si>
  <si>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</si>
  <si>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</si>
  <si>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</si>
  <si>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</si>
  <si>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</si>
  <si>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</si>
  <si>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</si>
  <si>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</si>
  <si>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</si>
  <si>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</si>
  <si>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</si>
  <si>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</si>
  <si>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</si>
  <si>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</si>
  <si>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</si>
  <si>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</si>
  <si>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</si>
  <si>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</si>
  <si>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</si>
  <si>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</si>
  <si>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</si>
  <si>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</si>
  <si>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</si>
  <si>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</si>
  <si>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</si>
  <si>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</si>
  <si>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</si>
  <si>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</si>
  <si>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</si>
  <si>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</si>
  <si>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</si>
  <si>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</si>
  <si>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</si>
  <si>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</si>
  <si>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</si>
  <si>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</si>
  <si>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</si>
  <si>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</si>
  <si>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</si>
  <si>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</si>
  <si>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</si>
  <si>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</si>
  <si>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</si>
  <si>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</si>
  <si>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</si>
  <si>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</si>
  <si>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</si>
  <si>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</si>
  <si>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</si>
  <si>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</si>
  <si>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</si>
  <si>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</si>
  <si>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</si>
  <si>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</si>
  <si>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</si>
  <si>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</si>
  <si>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</si>
  <si>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</si>
  <si>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</si>
  <si>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</si>
  <si>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</si>
  <si>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</si>
  <si>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</si>
  <si>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</si>
  <si>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</si>
  <si>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</si>
  <si>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</si>
  <si>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</si>
  <si>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</si>
  <si>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</si>
  <si>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</si>
  <si>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</si>
  <si>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</si>
  <si>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</si>
  <si>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</si>
  <si>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</si>
  <si>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</si>
  <si>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</si>
  <si>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</si>
  <si>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</si>
  <si>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</si>
  <si>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</si>
  <si>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</si>
  <si>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</si>
  <si>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</si>
  <si>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</si>
  <si>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</si>
  <si>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</si>
  <si>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</si>
  <si>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</si>
  <si>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</si>
  <si>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</si>
  <si>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</si>
  <si>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</si>
  <si>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</si>
  <si>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</si>
  <si>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</si>
  <si>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</si>
  <si>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</si>
  <si>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</si>
  <si>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</si>
  <si>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</si>
  <si>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</si>
  <si>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</si>
  <si>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</si>
  <si>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</si>
  <si>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</si>
  <si>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</si>
  <si>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</si>
  <si>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</si>
  <si>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</si>
  <si>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</si>
  <si>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</si>
  <si>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</si>
  <si>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</si>
  <si>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</si>
  <si>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</si>
  <si>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</si>
  <si>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</si>
  <si>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</si>
  <si>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</si>
  <si>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</si>
  <si>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</si>
  <si>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</si>
  <si>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</si>
  <si>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</si>
  <si>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</si>
  <si>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</si>
  <si>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</si>
  <si>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</si>
  <si>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</si>
  <si>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</si>
  <si>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</si>
  <si>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</si>
  <si>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</si>
  <si>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</si>
  <si>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</si>
  <si>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</si>
  <si>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</si>
  <si>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</si>
  <si>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</si>
  <si>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</si>
  <si>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</si>
  <si>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</si>
  <si>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</si>
  <si>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</si>
  <si>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</si>
  <si>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</si>
  <si>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</si>
  <si>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</si>
  <si>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</si>
  <si>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</si>
  <si>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</si>
  <si>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</si>
  <si>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</si>
  <si>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</si>
  <si>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</si>
  <si>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</si>
  <si>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</si>
  <si>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</si>
  <si>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</si>
  <si>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</si>
  <si>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</si>
  <si>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</si>
  <si>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</si>
  <si>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</si>
  <si>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</si>
  <si>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</si>
  <si>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</si>
  <si>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</si>
  <si>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</si>
  <si>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</si>
  <si>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</si>
  <si>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</si>
  <si>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</si>
  <si>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</si>
  <si>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</si>
  <si>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</si>
  <si>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</si>
  <si>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</si>
  <si>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</si>
  <si>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</si>
  <si>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</si>
  <si>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</si>
  <si>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</si>
  <si>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</si>
  <si>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</si>
  <si>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</si>
  <si>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</si>
  <si>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</si>
  <si>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</si>
  <si>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</si>
  <si>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</si>
  <si>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</si>
  <si>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</si>
  <si>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</si>
  <si>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</si>
  <si>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</si>
  <si>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</si>
  <si>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</si>
  <si>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</si>
  <si>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</si>
  <si>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</si>
  <si>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</si>
  <si>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</si>
  <si>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</si>
  <si>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</si>
  <si>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</si>
  <si>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</si>
  <si>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</si>
  <si>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</si>
  <si>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</si>
  <si>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</si>
  <si>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</si>
  <si>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</si>
  <si>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</si>
  <si>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</si>
  <si>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</si>
  <si>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</si>
  <si>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</si>
  <si>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</si>
  <si>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</si>
  <si>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</si>
  <si>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</si>
  <si>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</si>
  <si>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</si>
  <si>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</si>
  <si>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</si>
  <si>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</si>
  <si>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</si>
  <si>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</si>
  <si>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</si>
  <si>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</si>
  <si>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</si>
  <si>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</si>
  <si>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</si>
  <si>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</si>
  <si>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</si>
  <si>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</si>
  <si>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</si>
  <si>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</si>
  <si>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</si>
  <si>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</si>
  <si>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</si>
  <si>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</si>
  <si>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</si>
  <si>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</si>
  <si>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</si>
  <si>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</si>
  <si>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</si>
  <si>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</si>
  <si>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</si>
  <si>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</si>
  <si>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</si>
  <si>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</si>
  <si>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</si>
  <si>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</si>
  <si>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</si>
  <si>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</si>
  <si>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</si>
  <si>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</si>
  <si>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</si>
  <si>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</si>
  <si>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</si>
  <si>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</si>
  <si>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</si>
  <si>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</si>
  <si>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</si>
  <si>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</si>
  <si>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</si>
  <si>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</si>
  <si>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</si>
  <si>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</si>
  <si>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</si>
  <si>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</si>
  <si>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</si>
  <si>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</si>
  <si>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</si>
  <si>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</si>
  <si>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</si>
  <si>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</si>
  <si>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</si>
  <si>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</si>
  <si>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</si>
  <si>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</si>
  <si>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</si>
  <si>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</si>
  <si>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</si>
  <si>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</si>
  <si>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</si>
  <si>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</si>
  <si>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</si>
  <si>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</si>
  <si>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</si>
  <si>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</si>
  <si>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</si>
  <si>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</si>
  <si>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</si>
  <si>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</si>
  <si>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</si>
  <si>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</si>
  <si>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</si>
  <si>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</si>
  <si>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</si>
  <si>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</si>
  <si>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</si>
  <si>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</si>
  <si>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</si>
  <si>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</si>
  <si>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</si>
  <si>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</si>
  <si>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</si>
  <si>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</si>
  <si>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</si>
  <si>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</si>
  <si>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</si>
  <si>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</si>
  <si>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</si>
  <si>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</si>
  <si>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</si>
  <si>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</si>
  <si>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</si>
  <si>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</si>
  <si>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</si>
  <si>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</si>
  <si>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</si>
  <si>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</si>
  <si>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</si>
  <si>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</si>
  <si>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</si>
  <si>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</si>
  <si>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</si>
  <si>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</si>
  <si>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</si>
  <si>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</si>
  <si>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</si>
  <si>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</si>
  <si>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</si>
  <si>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</si>
  <si>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</si>
  <si>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</si>
  <si>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</si>
  <si>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</si>
  <si>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</si>
  <si>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</si>
  <si>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</si>
  <si>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</si>
  <si>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</si>
  <si>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</si>
  <si>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</si>
  <si>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</si>
  <si>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</si>
  <si>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</si>
  <si>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</si>
  <si>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</si>
  <si>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</si>
  <si>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</si>
  <si>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</si>
  <si>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</si>
  <si>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</si>
  <si>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</si>
  <si>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</si>
  <si>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</si>
  <si>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</si>
  <si>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</si>
  <si>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</si>
  <si>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</si>
  <si>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</si>
  <si>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</si>
  <si>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</si>
  <si>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</si>
  <si>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</si>
  <si>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</si>
  <si>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</si>
  <si>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</si>
  <si>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</si>
  <si>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</si>
  <si>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</si>
  <si>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</si>
  <si>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</si>
  <si>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</si>
  <si>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</si>
  <si>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</si>
  <si>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</si>
  <si>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</si>
  <si>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</si>
  <si>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</si>
  <si>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</si>
  <si>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</si>
  <si>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</si>
  <si>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</si>
  <si>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</si>
  <si>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</si>
  <si>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</si>
  <si>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</si>
  <si>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</si>
  <si>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</si>
  <si>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</si>
  <si>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</si>
  <si>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</si>
  <si>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</si>
  <si>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</si>
  <si>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</si>
  <si>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</si>
  <si>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</si>
  <si>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</si>
  <si>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</si>
  <si>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</si>
  <si>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</si>
  <si>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</si>
  <si>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</si>
  <si>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</si>
  <si>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</si>
  <si>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</si>
  <si>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</si>
  <si>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</si>
  <si>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</si>
  <si>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</si>
  <si>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</si>
  <si>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</si>
  <si>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</si>
  <si>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</si>
  <si>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</si>
  <si>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</si>
  <si>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</si>
  <si>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</si>
  <si>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</si>
  <si>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Original</t>
  </si>
  <si>
    <t>Refactored</t>
  </si>
  <si>
    <t>2017 Orignal</t>
  </si>
  <si>
    <t>2018 Orignal</t>
  </si>
  <si>
    <t>2017 Refactored</t>
  </si>
  <si>
    <t>2018 Refactored</t>
  </si>
  <si>
    <t>All Stocks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</si>
</sst>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1" fillId="0" borderId="0" xfId="0" applyFont="1"/>
    <xf numFmtId="9" fontId="0" fillId="0" borderId="0" xfId="1" applyFont="1"/>
    <xf numFmtId="0" fontId="0" fillId="0" borderId="0" xfId="0" applyFont="1"/>
    <xf numFmtId="3" fontId="0" fillId="0" borderId="0" xfId="0" applyNumberFormat="1"/>
    <xf numFmtId="165" fontId="0" fillId="3" borderId="0" xfId="0" applyNumberFormat="1" applyFill="1"/>
    <xf numFmtId="165" fontId="0" fillId="2" borderId="0" xfId="0" applyNumberFormat="1" applyFill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4</xdr:row>
      <xdr:rowOff>57150</xdr:rowOff>
    </xdr:from>
    <xdr:to>
      <xdr:col>4</xdr:col>
      <xdr:colOff>593996</xdr:colOff>
      <xdr:row>12</xdr:row>
      <xdr:rowOff>76017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298605B-1690-45C4-A3FA-F32EE545A0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3825" y="781050"/>
          <a:ext cx="2914286" cy="1466667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16</xdr:row>
      <xdr:rowOff>171450</xdr:rowOff>
    </xdr:from>
    <xdr:to>
      <xdr:col>5</xdr:col>
      <xdr:colOff>98686</xdr:colOff>
      <xdr:row>25</xdr:row>
      <xdr:rowOff>1723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E9B782F-AB05-4F44-A137-774C4AE16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400" y="3067050"/>
          <a:ext cx="2994286" cy="145904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4</xdr:row>
      <xdr:rowOff>28575</xdr:rowOff>
    </xdr:from>
    <xdr:to>
      <xdr:col>11</xdr:col>
      <xdr:colOff>550172</xdr:colOff>
      <xdr:row>12</xdr:row>
      <xdr:rowOff>39823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58FB9C5-C776-4DA0-B8AC-3C7032ACF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752475"/>
          <a:ext cx="2982857" cy="1459048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16</xdr:row>
      <xdr:rowOff>171450</xdr:rowOff>
    </xdr:from>
    <xdr:to>
      <xdr:col>11</xdr:col>
      <xdr:colOff>533029</xdr:colOff>
      <xdr:row>24</xdr:row>
      <xdr:rowOff>156031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7A9702A-5866-4088-AC63-F13AC421F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3067050"/>
          <a:ext cx="2971429" cy="143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</xdr:row>
          <xdr:rowOff>7620</xdr:rowOff>
        </xdr:from>
        <xdr:to>
          <xdr:col>6</xdr:col>
          <xdr:colOff>251460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6</xdr:row>
          <xdr:rowOff>60960</xdr:rowOff>
        </xdr:from>
        <xdr:to>
          <xdr:col>6</xdr:col>
          <xdr:colOff>350520</xdr:colOff>
          <xdr:row>8</xdr:row>
          <xdr:rowOff>53340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38100</xdr:rowOff>
        </xdr:from>
        <xdr:to>
          <xdr:col>8</xdr:col>
          <xdr:colOff>9525</xdr:colOff>
          <xdr:row>9</xdr:row>
          <xdr:rowOff>64770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169545</xdr:rowOff>
        </xdr:from>
        <xdr:to>
          <xdr:col>13</xdr:col>
          <xdr:colOff>139065</xdr:colOff>
          <xdr:row>4</xdr:row>
          <xdr:rowOff>116205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(Original Code)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38100</xdr:rowOff>
        </xdr:from>
        <xdr:to>
          <xdr:col>9</xdr:col>
          <xdr:colOff>161925</xdr:colOff>
          <xdr:row>4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EBC2BB16-B46C-4EC4-92D8-F000CC542E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All Stock Analysis for Year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D3D05-A2F7-4431-8180-ECA334A51B06}">
  <sheetPr codeName="Sheet5"/>
  <dimension ref="A2:S22"/>
  <sheetViews>
    <sheetView workbookViewId="0">
      <selection activeCell="N17" sqref="N17"/>
    </sheetView>
  </sheetViews>
  <sheetFormatPr defaultRowHeight="14.4" x14ac:dyDescent="0.3"/>
  <sheetData>
    <row r="2" spans="1:19" x14ac:dyDescent="0.3">
      <c r="A2" s="3" t="s">
        <v>526</v>
      </c>
      <c r="B2" s="3"/>
      <c r="C2" s="3"/>
      <c r="D2" s="3"/>
      <c r="E2" s="3"/>
      <c r="F2" s="3"/>
      <c r="G2" s="3"/>
      <c r="H2" s="3" t="s">
        <v>527</v>
      </c>
      <c r="I2" s="3"/>
      <c r="J2" s="3"/>
      <c r="K2" s="3"/>
      <c r="L2" s="3"/>
      <c r="M2" s="3"/>
      <c r="N2" s="3"/>
      <c r="O2" s="3"/>
      <c r="P2" s="3"/>
      <c r="Q2" s="3"/>
      <c r="R2" s="3"/>
      <c r="S2" s="3"/>
    </row>
    <row r="4" spans="1:19" x14ac:dyDescent="0.3">
      <c r="A4" t="s">
        <v>528</v>
      </c>
      <c r="H4" s="5" t="s">
        <v>530</v>
      </c>
    </row>
    <row r="8" spans="1:19" x14ac:dyDescent="0.3">
      <c r="O8">
        <v>0.734375</v>
      </c>
      <c r="P8">
        <v>0.1210938</v>
      </c>
      <c r="Q8">
        <f>O8-P8</f>
        <v>0.61328119999999997</v>
      </c>
      <c r="R8" s="4">
        <f>Q8/O8</f>
        <v>0.83510631489361697</v>
      </c>
    </row>
    <row r="16" spans="1:19" x14ac:dyDescent="0.3">
      <c r="A16" t="s">
        <v>529</v>
      </c>
      <c r="H16" s="5" t="s">
        <v>531</v>
      </c>
    </row>
    <row r="17" spans="8:18" x14ac:dyDescent="0.3">
      <c r="H17" s="5"/>
    </row>
    <row r="22" spans="8:18" x14ac:dyDescent="0.3">
      <c r="O22">
        <v>0.73046880000000003</v>
      </c>
      <c r="P22">
        <v>0.1210938</v>
      </c>
      <c r="Q22">
        <f>O22-P22</f>
        <v>0.609375</v>
      </c>
      <c r="R22" s="4">
        <f>Q22/O22</f>
        <v>0.83422454182848049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B1" sqref="B1"/>
    </sheetView>
  </sheetViews>
  <sheetFormatPr defaultColWidth="8.77734375" defaultRowHeight="14.4" x14ac:dyDescent="0.3"/>
  <cols>
    <col min="2" max="2" width="10.33203125" bestFit="1" customWidth="1"/>
  </cols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8368A-1F06-4DD6-98B8-AFDEA68ABAF9}">
  <sheetPr codeName="Sheet3"/>
  <dimension ref="A1:C4"/>
  <sheetViews>
    <sheetView workbookViewId="0">
      <selection activeCell="C12" sqref="C12"/>
    </sheetView>
  </sheetViews>
  <sheetFormatPr defaultRowHeight="14.4" x14ac:dyDescent="0.3"/>
  <cols>
    <col min="2" max="2" width="17.44140625" bestFit="1" customWidth="1"/>
  </cols>
  <sheetData>
    <row r="1" spans="1:3" x14ac:dyDescent="0.3">
      <c r="A1" t="s">
        <v>522</v>
      </c>
    </row>
    <row r="3" spans="1:3" x14ac:dyDescent="0.3">
      <c r="A3" t="s">
        <v>523</v>
      </c>
      <c r="B3" t="s">
        <v>524</v>
      </c>
      <c r="C3" t="s">
        <v>525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4</xdr:col>
                    <xdr:colOff>419100</xdr:colOff>
                    <xdr:row>3</xdr:row>
                    <xdr:rowOff>7620</xdr:rowOff>
                  </from>
                  <to>
                    <xdr:col>6</xdr:col>
                    <xdr:colOff>251460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.DQAnalysis">
                <anchor moveWithCells="1" sizeWithCells="1">
                  <from>
                    <xdr:col>4</xdr:col>
                    <xdr:colOff>335280</xdr:colOff>
                    <xdr:row>6</xdr:row>
                    <xdr:rowOff>60960</xdr:rowOff>
                  </from>
                  <to>
                    <xdr:col>6</xdr:col>
                    <xdr:colOff>350520</xdr:colOff>
                    <xdr:row>8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6135C-867B-4FD9-865C-C1781251A82C}">
  <sheetPr codeName="Sheet4"/>
  <dimension ref="A1:C15"/>
  <sheetViews>
    <sheetView tabSelected="1" workbookViewId="0">
      <selection activeCell="D3" sqref="D3"/>
    </sheetView>
  </sheetViews>
  <sheetFormatPr defaultRowHeight="14.4" x14ac:dyDescent="0.3"/>
  <cols>
    <col min="1" max="1" width="15" bestFit="1" customWidth="1"/>
    <col min="2" max="2" width="17.44140625" bestFit="1" customWidth="1"/>
    <col min="3" max="3" width="8" bestFit="1" customWidth="1"/>
  </cols>
  <sheetData>
    <row r="1" spans="1:3" x14ac:dyDescent="0.3">
      <c r="A1" t="s">
        <v>532</v>
      </c>
    </row>
    <row r="3" spans="1:3" x14ac:dyDescent="0.3">
      <c r="A3" s="2" t="s">
        <v>0</v>
      </c>
      <c r="B3" s="2" t="s">
        <v>524</v>
      </c>
      <c r="C3" s="2" t="s">
        <v>525</v>
      </c>
    </row>
    <row r="4" spans="1:3" x14ac:dyDescent="0.3">
      <c r="A4" t="s">
        <v>8</v>
      </c>
      <c r="B4" s="6">
        <v>83079900</v>
      </c>
      <c r="C4" s="8">
        <v>-7.2847634553909302E-2</v>
      </c>
    </row>
    <row r="5" spans="1:3" x14ac:dyDescent="0.3">
      <c r="A5" t="s">
        <v>9</v>
      </c>
      <c r="B5" s="6">
        <v>200879900</v>
      </c>
      <c r="C5" s="8">
        <v>-0.16336052119731903</v>
      </c>
    </row>
    <row r="6" spans="1:3" x14ac:dyDescent="0.3">
      <c r="A6" t="s">
        <v>10</v>
      </c>
      <c r="B6" s="6">
        <v>107873900</v>
      </c>
      <c r="C6" s="8">
        <v>-0.62601888179779053</v>
      </c>
    </row>
    <row r="7" spans="1:3" x14ac:dyDescent="0.3">
      <c r="A7" t="s">
        <v>11</v>
      </c>
      <c r="B7" s="6">
        <v>607473500</v>
      </c>
      <c r="C7" s="7">
        <v>0.81923085451126099</v>
      </c>
    </row>
    <row r="8" spans="1:3" x14ac:dyDescent="0.3">
      <c r="A8" t="s">
        <v>12</v>
      </c>
      <c r="B8" s="6">
        <v>478113900</v>
      </c>
      <c r="C8" s="8">
        <v>-0.39713191986083984</v>
      </c>
    </row>
    <row r="9" spans="1:3" x14ac:dyDescent="0.3">
      <c r="A9" t="s">
        <v>13</v>
      </c>
      <c r="B9" s="6">
        <v>104340600</v>
      </c>
      <c r="C9" s="8">
        <v>-0.20658062398433685</v>
      </c>
    </row>
    <row r="10" spans="1:3" x14ac:dyDescent="0.3">
      <c r="A10" t="s">
        <v>14</v>
      </c>
      <c r="B10" s="6">
        <v>158309000</v>
      </c>
      <c r="C10" s="8">
        <v>-0.6053471565246582</v>
      </c>
    </row>
    <row r="11" spans="1:3" x14ac:dyDescent="0.3">
      <c r="A11" t="s">
        <v>15</v>
      </c>
      <c r="B11" s="6">
        <v>502757100</v>
      </c>
      <c r="C11" s="7">
        <v>0.83952707052230835</v>
      </c>
    </row>
    <row r="12" spans="1:3" x14ac:dyDescent="0.3">
      <c r="A12" t="s">
        <v>16</v>
      </c>
      <c r="B12" s="6">
        <v>237212300</v>
      </c>
      <c r="C12" s="8">
        <v>-7.7529586851596832E-2</v>
      </c>
    </row>
    <row r="13" spans="1:3" x14ac:dyDescent="0.3">
      <c r="A13" t="s">
        <v>17</v>
      </c>
      <c r="B13" s="6">
        <v>538024300</v>
      </c>
      <c r="C13" s="8">
        <v>-0.44593092799186707</v>
      </c>
    </row>
    <row r="14" spans="1:3" x14ac:dyDescent="0.3">
      <c r="A14" t="s">
        <v>18</v>
      </c>
      <c r="B14" s="6">
        <v>151434700</v>
      </c>
      <c r="C14" s="8">
        <v>-4.9957673996686935E-2</v>
      </c>
    </row>
    <row r="15" spans="1:3" x14ac:dyDescent="0.3">
      <c r="A15" t="s">
        <v>19</v>
      </c>
      <c r="B15" s="6">
        <v>136539100</v>
      </c>
      <c r="C15" s="8">
        <v>-3.5443063825368881E-2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Worksheet">
                <anchor moveWithCells="1" sizeWithCells="1">
                  <from>
                    <xdr:col>6</xdr:col>
                    <xdr:colOff>7620</xdr:colOff>
                    <xdr:row>7</xdr:row>
                    <xdr:rowOff>38100</xdr:rowOff>
                  </from>
                  <to>
                    <xdr:col>8</xdr:col>
                    <xdr:colOff>7620</xdr:colOff>
                    <xdr:row>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.AllStocksAnalysis">
                <anchor moveWithCells="1" sizeWithCells="1">
                  <from>
                    <xdr:col>10</xdr:col>
                    <xdr:colOff>7620</xdr:colOff>
                    <xdr:row>1</xdr:row>
                    <xdr:rowOff>167640</xdr:rowOff>
                  </from>
                  <to>
                    <xdr:col>13</xdr:col>
                    <xdr:colOff>137160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tocksAnalysisRefactored.AllStocksAnalysisRefactored">
                <anchor moveWithCells="1" sizeWithCells="1">
                  <from>
                    <xdr:col>6</xdr:col>
                    <xdr:colOff>30480</xdr:colOff>
                    <xdr:row>2</xdr:row>
                    <xdr:rowOff>38100</xdr:rowOff>
                  </from>
                  <to>
                    <xdr:col>9</xdr:col>
                    <xdr:colOff>160020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Time Stamps</vt:lpstr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Bialek</dc:creator>
  <cp:lastModifiedBy>Tim Bialek</cp:lastModifiedBy>
  <dcterms:created xsi:type="dcterms:W3CDTF">2019-05-02T20:23:55Z</dcterms:created>
  <dcterms:modified xsi:type="dcterms:W3CDTF">2022-02-13T21:51:23Z</dcterms:modified>
</cp:coreProperties>
</file>